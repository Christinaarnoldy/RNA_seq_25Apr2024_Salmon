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na\Documents\RNA_seq_25Apr2024_Salmon\"/>
    </mc:Choice>
  </mc:AlternateContent>
  <xr:revisionPtr revIDLastSave="0" documentId="13_ncr:9_{487A6E27-8D08-469F-B5BE-2B00AD124037}" xr6:coauthVersionLast="47" xr6:coauthVersionMax="47" xr10:uidLastSave="{00000000-0000-0000-0000-000000000000}"/>
  <bookViews>
    <workbookView xWindow="-120" yWindow="-120" windowWidth="29040" windowHeight="15720" xr2:uid="{B11525CF-365F-4A34-BC6E-641DDBED0954}"/>
  </bookViews>
  <sheets>
    <sheet name="HPVcounts" sheetId="1" r:id="rId1"/>
  </sheets>
  <calcPr calcId="0"/>
</workbook>
</file>

<file path=xl/calcChain.xml><?xml version="1.0" encoding="utf-8"?>
<calcChain xmlns="http://schemas.openxmlformats.org/spreadsheetml/2006/main">
  <c r="P24" i="1" l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<sst xmlns="http://schemas.openxmlformats.org/spreadsheetml/2006/main" count="58" uniqueCount="33">
  <si>
    <t>T216_DMSO</t>
  </si>
  <si>
    <t>T216_GW</t>
  </si>
  <si>
    <t>T2Y_DMSO</t>
  </si>
  <si>
    <t>T2Y_GW</t>
  </si>
  <si>
    <t>T316_DMSO</t>
  </si>
  <si>
    <t>T316_GW</t>
  </si>
  <si>
    <t>T3Y_DMSO</t>
  </si>
  <si>
    <t>T3Y_GW</t>
  </si>
  <si>
    <t>HPV16_W12_REF_Species_a</t>
  </si>
  <si>
    <t>HPV16_W12_REF_Species_b</t>
  </si>
  <si>
    <t>HPV16_W12_REF_Species_c</t>
  </si>
  <si>
    <t>HPV16_W12_REF_Species_d</t>
  </si>
  <si>
    <t>HPV16_W12_REF_Species_e</t>
  </si>
  <si>
    <t>HPV16_W12_REF_Species_f</t>
  </si>
  <si>
    <t>HPV16_W12_REF_Species_g</t>
  </si>
  <si>
    <t>HPV16_W12_REF_Species_h</t>
  </si>
  <si>
    <t>HPV16_W12_REF_Species_i</t>
  </si>
  <si>
    <t>HPV16_W12_REF_Species_j</t>
  </si>
  <si>
    <t>HPV16_W12_REF_Species_k</t>
  </si>
  <si>
    <t>HPV16_W12_REF_Species_l</t>
  </si>
  <si>
    <t>HPV16_W12_REF_Species_m</t>
  </si>
  <si>
    <t>HPV16_W12_REF_Species_n</t>
  </si>
  <si>
    <t>HPV16_W12_REF_Species_o</t>
  </si>
  <si>
    <t>HPV16_W12_REF_Species_p</t>
  </si>
  <si>
    <t>HPV16_W12_REF_Species_q</t>
  </si>
  <si>
    <t>HPV16_W12_REF_Species_r</t>
  </si>
  <si>
    <t>HPV16_W12_REF_Species_s</t>
  </si>
  <si>
    <t>HPV16_W12_REF_Species_t</t>
  </si>
  <si>
    <t>HPV16_W12_REF_Species_u</t>
  </si>
  <si>
    <t>HPV16_W12_REF_Species_v</t>
  </si>
  <si>
    <t>HPV16_W12_REF_Species_w</t>
  </si>
  <si>
    <t>fold-pseudo</t>
  </si>
  <si>
    <t>log2fc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</si>
</sst>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7058279649545"/>
          <c:y val="2.0997370594121878E-2"/>
          <c:w val="0.42198856479354285"/>
          <c:h val="0.894396001691813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HPVcounts!$L$2</c:f>
              <c:strCache>
                <c:ptCount val="1"/>
                <c:pt idx="0">
                  <c:v>HPV16_W12_REF_Species_a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HPVcounts!$M$2:$N$2</c:f>
              <c:numCache>
                <c:formatCode>General</c:formatCode>
                <c:ptCount val="2"/>
                <c:pt idx="0">
                  <c:v>1176.8119999999999</c:v>
                </c:pt>
                <c:pt idx="1">
                  <c:v>1457.5039999999999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A-4670-94CC-DE308C9F28B1}"/>
            </c:ext>
          </c:extLst>
        </c:ser>
        <c:ser>
          <c:idx val="1"/>
          <c:order val="1"/>
          <c:tx>
            <c:strRef>
              <c:f>HPVcounts!$L$3</c:f>
              <c:strCache>
                <c:ptCount val="1"/>
                <c:pt idx="0">
                  <c:v>HPV16_W12_REF_Species_b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HPVcounts!$M$3:$N$3</c:f>
              <c:numCache>
                <c:formatCode>General</c:formatCode>
                <c:ptCount val="2"/>
                <c:pt idx="0">
                  <c:v>289.68</c:v>
                </c:pt>
                <c:pt idx="1">
                  <c:v>379.404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A-4670-94CC-DE308C9F28B1}"/>
            </c:ext>
          </c:extLst>
        </c:ser>
        <c:ser>
          <c:idx val="2"/>
          <c:order val="2"/>
          <c:tx>
            <c:strRef>
              <c:f>HPVcounts!$L$4</c:f>
              <c:strCache>
                <c:ptCount val="1"/>
                <c:pt idx="0">
                  <c:v>HPV16_W12_REF_Species_c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HPVcounts!$M$4:$N$4</c:f>
              <c:numCache>
                <c:formatCode>General</c:formatCode>
                <c:ptCount val="2"/>
                <c:pt idx="0">
                  <c:v>3573.0790000000002</c:v>
                </c:pt>
                <c:pt idx="1">
                  <c:v>4005.9340000000002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A-4670-94CC-DE308C9F28B1}"/>
            </c:ext>
          </c:extLst>
        </c:ser>
        <c:ser>
          <c:idx val="3"/>
          <c:order val="3"/>
          <c:tx>
            <c:strRef>
              <c:f>HPVcounts!$L$5</c:f>
              <c:strCache>
                <c:ptCount val="1"/>
                <c:pt idx="0">
                  <c:v>HPV16_W12_REF_Species_d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HPVcounts!$M$5:$N$5</c:f>
              <c:numCache>
                <c:formatCode>General</c:formatCode>
                <c:ptCount val="2"/>
                <c:pt idx="0">
                  <c:v>274.66699999999997</c:v>
                </c:pt>
                <c:pt idx="1">
                  <c:v>426.54399999999998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5A-4670-94CC-DE308C9F28B1}"/>
            </c:ext>
          </c:extLst>
        </c:ser>
        <c:ser>
          <c:idx val="4"/>
          <c:order val="4"/>
          <c:tx>
            <c:strRef>
              <c:f>HPVcounts!$L$6</c:f>
              <c:strCache>
                <c:ptCount val="1"/>
                <c:pt idx="0">
                  <c:v>HPV16_W12_REF_Species_e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HPVcounts!$M$6:$N$6</c:f>
              <c:numCache>
                <c:formatCode>General</c:formatCode>
                <c:ptCount val="2"/>
                <c:pt idx="0">
                  <c:v>1.61</c:v>
                </c:pt>
                <c:pt idx="1">
                  <c:v>7.7880000000000003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5A-4670-94CC-DE308C9F28B1}"/>
            </c:ext>
          </c:extLst>
        </c:ser>
        <c:ser>
          <c:idx val="5"/>
          <c:order val="5"/>
          <c:tx>
            <c:strRef>
              <c:f>HPVcounts!$L$7</c:f>
              <c:strCache>
                <c:ptCount val="1"/>
                <c:pt idx="0">
                  <c:v>HPV16_W12_REF_Species_f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HPVcounts!$M$7:$N$7</c:f>
              <c:numCache>
                <c:formatCode>General</c:formatCode>
                <c:ptCount val="2"/>
                <c:pt idx="0">
                  <c:v>66.73</c:v>
                </c:pt>
                <c:pt idx="1">
                  <c:v>98.278999999999996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5A-4670-94CC-DE308C9F28B1}"/>
            </c:ext>
          </c:extLst>
        </c:ser>
        <c:ser>
          <c:idx val="6"/>
          <c:order val="6"/>
          <c:tx>
            <c:strRef>
              <c:f>HPVcounts!$L$8</c:f>
              <c:strCache>
                <c:ptCount val="1"/>
                <c:pt idx="0">
                  <c:v>HPV16_W12_REF_Species_g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HPVcounts!$M$8:$N$8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5A-4670-94CC-DE308C9F28B1}"/>
            </c:ext>
          </c:extLst>
        </c:ser>
        <c:ser>
          <c:idx val="7"/>
          <c:order val="7"/>
          <c:tx>
            <c:strRef>
              <c:f>HPVcounts!$L$9</c:f>
              <c:strCache>
                <c:ptCount val="1"/>
                <c:pt idx="0">
                  <c:v>HPV16_W12_REF_Species_h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HPVcounts!$M$9:$N$9</c:f>
              <c:numCache>
                <c:formatCode>General</c:formatCode>
                <c:ptCount val="2"/>
                <c:pt idx="0">
                  <c:v>848.93600000000004</c:v>
                </c:pt>
                <c:pt idx="1">
                  <c:v>1073.5940000000001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5A-4670-94CC-DE308C9F28B1}"/>
            </c:ext>
          </c:extLst>
        </c:ser>
        <c:ser>
          <c:idx val="8"/>
          <c:order val="8"/>
          <c:tx>
            <c:strRef>
              <c:f>HPVcounts!$L$10</c:f>
              <c:strCache>
                <c:ptCount val="1"/>
                <c:pt idx="0">
                  <c:v>HPV16_W12_REF_Species_i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HPVcounts!$M$10:$N$10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5A-4670-94CC-DE308C9F28B1}"/>
            </c:ext>
          </c:extLst>
        </c:ser>
        <c:ser>
          <c:idx val="9"/>
          <c:order val="9"/>
          <c:tx>
            <c:strRef>
              <c:f>HPVcounts!$L$11</c:f>
              <c:strCache>
                <c:ptCount val="1"/>
                <c:pt idx="0">
                  <c:v>HPV16_W12_REF_Species_j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HPVcounts!$M$11:$N$11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45A-4670-94CC-DE308C9F28B1}"/>
            </c:ext>
          </c:extLst>
        </c:ser>
        <c:ser>
          <c:idx val="10"/>
          <c:order val="10"/>
          <c:tx>
            <c:strRef>
              <c:f>HPVcounts!$L$12</c:f>
              <c:strCache>
                <c:ptCount val="1"/>
                <c:pt idx="0">
                  <c:v>HPV16_W12_REF_Species_k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HPVcounts!$M$12:$N$12</c:f>
              <c:numCache>
                <c:formatCode>General</c:formatCode>
                <c:ptCount val="2"/>
                <c:pt idx="0">
                  <c:v>6.766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5A-4670-94CC-DE308C9F28B1}"/>
            </c:ext>
          </c:extLst>
        </c:ser>
        <c:ser>
          <c:idx val="11"/>
          <c:order val="11"/>
          <c:tx>
            <c:strRef>
              <c:f>HPVcounts!$L$13</c:f>
              <c:strCache>
                <c:ptCount val="1"/>
                <c:pt idx="0">
                  <c:v>HPV16_W12_REF_Species_l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HPVcounts!$M$13:$N$13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45A-4670-94CC-DE308C9F28B1}"/>
            </c:ext>
          </c:extLst>
        </c:ser>
        <c:ser>
          <c:idx val="12"/>
          <c:order val="12"/>
          <c:tx>
            <c:strRef>
              <c:f>HPVcounts!$L$14</c:f>
              <c:strCache>
                <c:ptCount val="1"/>
                <c:pt idx="0">
                  <c:v>HPV16_W12_REF_Species_m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HPVcounts!$M$14:$N$14</c:f>
              <c:numCache>
                <c:formatCode>General</c:formatCode>
                <c:ptCount val="2"/>
                <c:pt idx="0">
                  <c:v>24.617000000000001</c:v>
                </c:pt>
                <c:pt idx="1">
                  <c:v>102.682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5A-4670-94CC-DE308C9F28B1}"/>
            </c:ext>
          </c:extLst>
        </c:ser>
        <c:ser>
          <c:idx val="13"/>
          <c:order val="13"/>
          <c:tx>
            <c:strRef>
              <c:f>HPVcounts!$L$15</c:f>
              <c:strCache>
                <c:ptCount val="1"/>
                <c:pt idx="0">
                  <c:v>HPV16_W12_REF_Species_n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HPVcounts!$M$15:$N$15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45A-4670-94CC-DE308C9F28B1}"/>
            </c:ext>
          </c:extLst>
        </c:ser>
        <c:ser>
          <c:idx val="14"/>
          <c:order val="14"/>
          <c:tx>
            <c:strRef>
              <c:f>HPVcounts!$L$16</c:f>
              <c:strCache>
                <c:ptCount val="1"/>
                <c:pt idx="0">
                  <c:v>HPV16_W12_REF_Species_o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HPVcounts!$M$16:$N$16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5A-4670-94CC-DE308C9F28B1}"/>
            </c:ext>
          </c:extLst>
        </c:ser>
        <c:ser>
          <c:idx val="15"/>
          <c:order val="15"/>
          <c:tx>
            <c:strRef>
              <c:f>HPVcounts!$L$17</c:f>
              <c:strCache>
                <c:ptCount val="1"/>
                <c:pt idx="0">
                  <c:v>HPV16_W12_REF_Species_p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HPVcounts!$M$17:$N$17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45A-4670-94CC-DE308C9F28B1}"/>
            </c:ext>
          </c:extLst>
        </c:ser>
        <c:ser>
          <c:idx val="16"/>
          <c:order val="16"/>
          <c:tx>
            <c:strRef>
              <c:f>HPVcounts!$L$18</c:f>
              <c:strCache>
                <c:ptCount val="1"/>
                <c:pt idx="0">
                  <c:v>HPV16_W12_REF_Species_q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HPVcounts!$M$18:$N$18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45A-4670-94CC-DE308C9F28B1}"/>
            </c:ext>
          </c:extLst>
        </c:ser>
        <c:ser>
          <c:idx val="17"/>
          <c:order val="17"/>
          <c:tx>
            <c:strRef>
              <c:f>HPVcounts!$L$19</c:f>
              <c:strCache>
                <c:ptCount val="1"/>
                <c:pt idx="0">
                  <c:v>HPV16_W12_REF_Species_r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HPVcounts!$M$19:$N$19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45A-4670-94CC-DE308C9F28B1}"/>
            </c:ext>
          </c:extLst>
        </c:ser>
        <c:ser>
          <c:idx val="18"/>
          <c:order val="18"/>
          <c:tx>
            <c:strRef>
              <c:f>HPVcounts!$L$20</c:f>
              <c:strCache>
                <c:ptCount val="1"/>
                <c:pt idx="0">
                  <c:v>HPV16_W12_REF_Species_s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HPVcounts!$M$20:$N$20</c:f>
              <c:numCache>
                <c:formatCode>General</c:formatCode>
                <c:ptCount val="2"/>
                <c:pt idx="0">
                  <c:v>0</c:v>
                </c:pt>
                <c:pt idx="1">
                  <c:v>1.161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45A-4670-94CC-DE308C9F28B1}"/>
            </c:ext>
          </c:extLst>
        </c:ser>
        <c:ser>
          <c:idx val="19"/>
          <c:order val="19"/>
          <c:tx>
            <c:strRef>
              <c:f>HPVcounts!$L$21</c:f>
              <c:strCache>
                <c:ptCount val="1"/>
                <c:pt idx="0">
                  <c:v>HPV16_W12_REF_Species_t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HPVcounts!$M$21:$N$21</c:f>
              <c:numCache>
                <c:formatCode>General</c:formatCode>
                <c:ptCount val="2"/>
                <c:pt idx="0">
                  <c:v>0</c:v>
                </c:pt>
                <c:pt idx="1">
                  <c:v>0.996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45A-4670-94CC-DE308C9F28B1}"/>
            </c:ext>
          </c:extLst>
        </c:ser>
        <c:ser>
          <c:idx val="20"/>
          <c:order val="20"/>
          <c:tx>
            <c:strRef>
              <c:f>HPVcounts!$L$22</c:f>
              <c:strCache>
                <c:ptCount val="1"/>
                <c:pt idx="0">
                  <c:v>HPV16_W12_REF_Species_u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HPVcounts!$M$22:$N$22</c:f>
              <c:numCache>
                <c:formatCode>General</c:formatCode>
                <c:ptCount val="2"/>
                <c:pt idx="0">
                  <c:v>1.319</c:v>
                </c:pt>
                <c:pt idx="1">
                  <c:v>2.8780000000000001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45A-4670-94CC-DE308C9F28B1}"/>
            </c:ext>
          </c:extLst>
        </c:ser>
        <c:ser>
          <c:idx val="21"/>
          <c:order val="21"/>
          <c:tx>
            <c:strRef>
              <c:f>HPVcounts!$L$23</c:f>
              <c:strCache>
                <c:ptCount val="1"/>
                <c:pt idx="0">
                  <c:v>HPV16_W12_REF_Species_v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HPVcounts!$M$23:$N$23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45A-4670-94CC-DE308C9F28B1}"/>
            </c:ext>
          </c:extLst>
        </c:ser>
        <c:ser>
          <c:idx val="22"/>
          <c:order val="22"/>
          <c:tx>
            <c:strRef>
              <c:f>HPVcounts!$L$24</c:f>
              <c:strCache>
                <c:ptCount val="1"/>
                <c:pt idx="0">
                  <c:v>HPV16_W12_REF_Species_w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HPVcounts!$M$1:$N$1</c:f>
              <c:strCache>
                <c:ptCount val="2"/>
                <c:pt idx="0">
                  <c:v>T216_DMSO</c:v>
                </c:pt>
                <c:pt idx="1">
                  <c:v>T216_GW</c:v>
                </c:pt>
              </c:strCache>
            </c:strRef>
          </c:cat>
          <c:val>
            <c:numRef>
              <c:f>HPVcounts!$M$24:$N$24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45A-4670-94CC-DE308C9F2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301174016"/>
        <c:axId val="1301185536"/>
      </c:barChart>
      <c:catAx>
        <c:axId val="13011740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185536"/>
        <c:crosses val="autoZero"/>
        <c:auto val="1"/>
        <c:lblAlgn val="ctr"/>
        <c:lblOffset val="100"/>
        <c:noMultiLvlLbl val="0"/>
      </c:catAx>
      <c:valAx>
        <c:axId val="130118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17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749200729725"/>
          <c:y val="0.12956084082069208"/>
          <c:w val="0.39065624967975865"/>
          <c:h val="0.7408783183586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HPVcounts!$P$1</c:f>
              <c:strCache>
                <c:ptCount val="1"/>
                <c:pt idx="0">
                  <c:v>log2fc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HPVcounts!$L$2:$L$24</c:f>
              <c:strCache>
                <c:ptCount val="23"/>
                <c:pt idx="0">
                  <c:v>HPV16_W12_REF_Species_a</c:v>
                </c:pt>
                <c:pt idx="1">
                  <c:v>HPV16_W12_REF_Species_b</c:v>
                </c:pt>
                <c:pt idx="2">
                  <c:v>HPV16_W12_REF_Species_c</c:v>
                </c:pt>
                <c:pt idx="3">
                  <c:v>HPV16_W12_REF_Species_d</c:v>
                </c:pt>
                <c:pt idx="4">
                  <c:v>HPV16_W12_REF_Species_e</c:v>
                </c:pt>
                <c:pt idx="5">
                  <c:v>HPV16_W12_REF_Species_f</c:v>
                </c:pt>
                <c:pt idx="6">
                  <c:v>HPV16_W12_REF_Species_g</c:v>
                </c:pt>
                <c:pt idx="7">
                  <c:v>HPV16_W12_REF_Species_h</c:v>
                </c:pt>
                <c:pt idx="8">
                  <c:v>HPV16_W12_REF_Species_i</c:v>
                </c:pt>
                <c:pt idx="9">
                  <c:v>HPV16_W12_REF_Species_j</c:v>
                </c:pt>
                <c:pt idx="10">
                  <c:v>HPV16_W12_REF_Species_k</c:v>
                </c:pt>
                <c:pt idx="11">
                  <c:v>HPV16_W12_REF_Species_l</c:v>
                </c:pt>
                <c:pt idx="12">
                  <c:v>HPV16_W12_REF_Species_m</c:v>
                </c:pt>
                <c:pt idx="13">
                  <c:v>HPV16_W12_REF_Species_n</c:v>
                </c:pt>
                <c:pt idx="14">
                  <c:v>HPV16_W12_REF_Species_o</c:v>
                </c:pt>
                <c:pt idx="15">
                  <c:v>HPV16_W12_REF_Species_p</c:v>
                </c:pt>
                <c:pt idx="16">
                  <c:v>HPV16_W12_REF_Species_q</c:v>
                </c:pt>
                <c:pt idx="17">
                  <c:v>HPV16_W12_REF_Species_r</c:v>
                </c:pt>
                <c:pt idx="18">
                  <c:v>HPV16_W12_REF_Species_s</c:v>
                </c:pt>
                <c:pt idx="19">
                  <c:v>HPV16_W12_REF_Species_t</c:v>
                </c:pt>
                <c:pt idx="20">
                  <c:v>HPV16_W12_REF_Species_u</c:v>
                </c:pt>
                <c:pt idx="21">
                  <c:v>HPV16_W12_REF_Species_v</c:v>
                </c:pt>
                <c:pt idx="22">
                  <c:v>HPV16_W12_REF_Species_w</c:v>
                </c:pt>
              </c:strCache>
            </c:strRef>
          </c:cat>
          <c:val>
            <c:numRef>
              <c:f>HPVcounts!$P$2:$P$24</c:f>
              <c:numCache>
                <c:formatCode>General</c:formatCode>
                <c:ptCount val="23"/>
                <c:pt idx="0">
                  <c:v>0.30838006544219221</c:v>
                </c:pt>
                <c:pt idx="1">
                  <c:v>0.38810060497874116</c:v>
                </c:pt>
                <c:pt idx="2">
                  <c:v>0.16492722320901537</c:v>
                </c:pt>
                <c:pt idx="3">
                  <c:v>0.63314632710168928</c:v>
                </c:pt>
                <c:pt idx="4">
                  <c:v>1.7514850629660295</c:v>
                </c:pt>
                <c:pt idx="5">
                  <c:v>0.55169358805980206</c:v>
                </c:pt>
                <c:pt idx="6">
                  <c:v>0</c:v>
                </c:pt>
                <c:pt idx="7">
                  <c:v>0.33836557206331913</c:v>
                </c:pt>
                <c:pt idx="8">
                  <c:v>0</c:v>
                </c:pt>
                <c:pt idx="9">
                  <c:v>0</c:v>
                </c:pt>
                <c:pt idx="10">
                  <c:v>-2.9571717072463901</c:v>
                </c:pt>
                <c:pt idx="11">
                  <c:v>0</c:v>
                </c:pt>
                <c:pt idx="12">
                  <c:v>2.0169920157770611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1.1116990721974203</c:v>
                </c:pt>
                <c:pt idx="19">
                  <c:v>0.99711172067517351</c:v>
                </c:pt>
                <c:pt idx="20">
                  <c:v>0.74180998346078886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5-424F-8AD6-77D31EEF5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9846384"/>
        <c:axId val="1299835344"/>
      </c:barChart>
      <c:catAx>
        <c:axId val="129984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835344"/>
        <c:crosses val="autoZero"/>
        <c:auto val="1"/>
        <c:lblAlgn val="ctr"/>
        <c:lblOffset val="100"/>
        <c:noMultiLvlLbl val="0"/>
      </c:catAx>
      <c:valAx>
        <c:axId val="129983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84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1</xdr:row>
      <xdr:rowOff>52386</xdr:rowOff>
    </xdr:from>
    <xdr:to>
      <xdr:col>24</xdr:col>
      <xdr:colOff>57149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C609C-BE52-1DEF-C2A5-8F0B8C896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600074</xdr:colOff>
      <xdr:row>24</xdr:row>
      <xdr:rowOff>180975</xdr:rowOff>
    </xdr:from>
    <xdr:to>
      <xdr:col>16</xdr:col>
      <xdr:colOff>38099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20262-7ECF-AABE-EDDF-722AF743A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A2E2-1191-452F-BCA4-597954382918}">
  <dimension ref="A1:P24"/>
  <sheetViews>
    <sheetView tabSelected="1" workbookViewId="0">
      <selection activeCell="J27" sqref="J27"/>
    </sheetView>
  </sheetViews>
  <sheetFormatPr defaultRowHeight="15" x14ac:dyDescent="0.25"/>
  <cols>
    <col min="12" max="12" width="27.425781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M1" t="s">
        <v>0</v>
      </c>
      <c r="N1" t="s">
        <v>1</v>
      </c>
      <c r="O1" t="s">
        <v>31</v>
      </c>
      <c r="P1" t="s">
        <v>32</v>
      </c>
    </row>
    <row r="2" spans="1:16" x14ac:dyDescent="0.25">
      <c r="A2" t="s">
        <v>8</v>
      </c>
      <c r="B2">
        <v>1176.8119999999999</v>
      </c>
      <c r="C2">
        <v>1457.5039999999999</v>
      </c>
      <c r="D2">
        <v>0</v>
      </c>
      <c r="E2">
        <v>0</v>
      </c>
      <c r="F2">
        <v>1741.364</v>
      </c>
      <c r="G2">
        <v>1771.1130000000001</v>
      </c>
      <c r="H2">
        <v>0</v>
      </c>
      <c r="I2">
        <v>0</v>
      </c>
      <c r="L2" t="s">
        <v>8</v>
      </c>
      <c r="M2">
        <v>1176.8119999999999</v>
      </c>
      <c r="N2">
        <v>1457.5039999999999</v>
      </c>
      <c r="O2">
        <f>(N2+1)/(M2+1)</f>
        <v>1.2383164715591284</v>
      </c>
      <c r="P2">
        <f>LOG(O2,2)</f>
        <v>0.30838006544219221</v>
      </c>
    </row>
    <row r="3" spans="1:16" x14ac:dyDescent="0.25">
      <c r="A3" t="s">
        <v>9</v>
      </c>
      <c r="B3">
        <v>289.68</v>
      </c>
      <c r="C3">
        <v>379.404</v>
      </c>
      <c r="D3">
        <v>0</v>
      </c>
      <c r="E3">
        <v>0</v>
      </c>
      <c r="F3">
        <v>467.83300000000003</v>
      </c>
      <c r="G3">
        <v>73.522000000000006</v>
      </c>
      <c r="H3">
        <v>0</v>
      </c>
      <c r="I3">
        <v>0</v>
      </c>
      <c r="L3" t="s">
        <v>9</v>
      </c>
      <c r="M3">
        <v>289.68</v>
      </c>
      <c r="N3">
        <v>379.404</v>
      </c>
      <c r="O3">
        <f>(N3+1)/(M3+1)</f>
        <v>1.3086693270950873</v>
      </c>
      <c r="P3">
        <f t="shared" ref="P3:P24" si="0">LOG(O3,2)</f>
        <v>0.38810060497874116</v>
      </c>
    </row>
    <row r="4" spans="1:16" x14ac:dyDescent="0.25">
      <c r="A4" t="s">
        <v>10</v>
      </c>
      <c r="B4">
        <v>3573.0790000000002</v>
      </c>
      <c r="C4">
        <v>4005.9340000000002</v>
      </c>
      <c r="D4">
        <v>0</v>
      </c>
      <c r="E4">
        <v>0</v>
      </c>
      <c r="F4">
        <v>4354.8440000000001</v>
      </c>
      <c r="G4">
        <v>4726.4759999999997</v>
      </c>
      <c r="H4">
        <v>0</v>
      </c>
      <c r="I4">
        <v>0</v>
      </c>
      <c r="L4" t="s">
        <v>10</v>
      </c>
      <c r="M4">
        <v>3573.0790000000002</v>
      </c>
      <c r="N4">
        <v>4005.9340000000002</v>
      </c>
      <c r="O4">
        <f>(N4+1)/(M4+1)</f>
        <v>1.1211095222013838</v>
      </c>
      <c r="P4">
        <f t="shared" si="0"/>
        <v>0.16492722320901537</v>
      </c>
    </row>
    <row r="5" spans="1:16" x14ac:dyDescent="0.25">
      <c r="A5" t="s">
        <v>11</v>
      </c>
      <c r="B5">
        <v>274.66699999999997</v>
      </c>
      <c r="C5">
        <v>426.54399999999998</v>
      </c>
      <c r="D5">
        <v>0</v>
      </c>
      <c r="E5">
        <v>0</v>
      </c>
      <c r="F5">
        <v>139.024</v>
      </c>
      <c r="G5">
        <v>322.25799999999998</v>
      </c>
      <c r="H5">
        <v>0</v>
      </c>
      <c r="I5">
        <v>0</v>
      </c>
      <c r="L5" t="s">
        <v>11</v>
      </c>
      <c r="M5">
        <v>274.66699999999997</v>
      </c>
      <c r="N5">
        <v>426.54399999999998</v>
      </c>
      <c r="O5">
        <f>(N5+1)/(M5+1)</f>
        <v>1.5509437110716917</v>
      </c>
      <c r="P5">
        <f t="shared" si="0"/>
        <v>0.63314632710168928</v>
      </c>
    </row>
    <row r="6" spans="1:16" x14ac:dyDescent="0.25">
      <c r="A6" t="s">
        <v>12</v>
      </c>
      <c r="B6">
        <v>1.61</v>
      </c>
      <c r="C6">
        <v>7.7880000000000003</v>
      </c>
      <c r="D6">
        <v>0</v>
      </c>
      <c r="E6">
        <v>0</v>
      </c>
      <c r="F6">
        <v>0</v>
      </c>
      <c r="G6">
        <v>5.452</v>
      </c>
      <c r="H6">
        <v>0</v>
      </c>
      <c r="I6">
        <v>0</v>
      </c>
      <c r="L6" t="s">
        <v>12</v>
      </c>
      <c r="M6">
        <v>1.61</v>
      </c>
      <c r="N6">
        <v>7.7880000000000003</v>
      </c>
      <c r="O6">
        <f>(N6+1)/(M6+1)</f>
        <v>3.3670498084291185</v>
      </c>
      <c r="P6">
        <f t="shared" si="0"/>
        <v>1.7514850629660295</v>
      </c>
    </row>
    <row r="7" spans="1:16" x14ac:dyDescent="0.25">
      <c r="A7" t="s">
        <v>13</v>
      </c>
      <c r="B7">
        <v>66.73</v>
      </c>
      <c r="C7">
        <v>98.278999999999996</v>
      </c>
      <c r="D7">
        <v>0</v>
      </c>
      <c r="E7">
        <v>0</v>
      </c>
      <c r="F7">
        <v>162.54</v>
      </c>
      <c r="G7">
        <v>135.80099999999999</v>
      </c>
      <c r="H7">
        <v>0</v>
      </c>
      <c r="I7">
        <v>0</v>
      </c>
      <c r="L7" t="s">
        <v>13</v>
      </c>
      <c r="M7">
        <v>66.73</v>
      </c>
      <c r="N7">
        <v>98.278999999999996</v>
      </c>
      <c r="O7">
        <f>(N7+1)/(M7+1)</f>
        <v>1.4658054038092425</v>
      </c>
      <c r="P7">
        <f t="shared" si="0"/>
        <v>0.55169358805980206</v>
      </c>
    </row>
    <row r="8" spans="1:16" x14ac:dyDescent="0.25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479.036</v>
      </c>
      <c r="H8">
        <v>0</v>
      </c>
      <c r="I8">
        <v>0</v>
      </c>
      <c r="L8" t="s">
        <v>14</v>
      </c>
      <c r="M8">
        <v>0</v>
      </c>
      <c r="N8">
        <v>0</v>
      </c>
      <c r="O8">
        <f>(N8+1)/(M8+1)</f>
        <v>1</v>
      </c>
      <c r="P8">
        <f t="shared" si="0"/>
        <v>0</v>
      </c>
    </row>
    <row r="9" spans="1:16" x14ac:dyDescent="0.25">
      <c r="A9" t="s">
        <v>15</v>
      </c>
      <c r="B9">
        <v>848.93600000000004</v>
      </c>
      <c r="C9">
        <v>1073.5940000000001</v>
      </c>
      <c r="D9">
        <v>0</v>
      </c>
      <c r="E9">
        <v>0</v>
      </c>
      <c r="F9">
        <v>720.08100000000002</v>
      </c>
      <c r="G9">
        <v>509.77</v>
      </c>
      <c r="H9">
        <v>0</v>
      </c>
      <c r="I9">
        <v>0</v>
      </c>
      <c r="L9" t="s">
        <v>15</v>
      </c>
      <c r="M9">
        <v>848.93600000000004</v>
      </c>
      <c r="N9">
        <v>1073.5940000000001</v>
      </c>
      <c r="O9">
        <f>(N9+1)/(M9+1)</f>
        <v>1.2643234314113063</v>
      </c>
      <c r="P9">
        <f t="shared" si="0"/>
        <v>0.33836557206331913</v>
      </c>
    </row>
    <row r="10" spans="1:16" x14ac:dyDescent="0.25">
      <c r="A10" t="s">
        <v>16</v>
      </c>
      <c r="B10">
        <v>0</v>
      </c>
      <c r="C10">
        <v>0</v>
      </c>
      <c r="D10">
        <v>0</v>
      </c>
      <c r="E10">
        <v>0</v>
      </c>
      <c r="F10">
        <v>291.25599999999997</v>
      </c>
      <c r="G10">
        <v>0</v>
      </c>
      <c r="H10">
        <v>0</v>
      </c>
      <c r="I10">
        <v>0</v>
      </c>
      <c r="L10" t="s">
        <v>16</v>
      </c>
      <c r="M10">
        <v>0</v>
      </c>
      <c r="N10">
        <v>0</v>
      </c>
      <c r="O10">
        <f>(N10+1)/(M10+1)</f>
        <v>1</v>
      </c>
      <c r="P10">
        <f t="shared" si="0"/>
        <v>0</v>
      </c>
    </row>
    <row r="11" spans="1:16" x14ac:dyDescent="0.25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L11" t="s">
        <v>17</v>
      </c>
      <c r="M11">
        <v>0</v>
      </c>
      <c r="N11">
        <v>0</v>
      </c>
      <c r="O11">
        <f>(N11+1)/(M11+1)</f>
        <v>1</v>
      </c>
      <c r="P11">
        <f t="shared" si="0"/>
        <v>0</v>
      </c>
    </row>
    <row r="12" spans="1:16" x14ac:dyDescent="0.25">
      <c r="A12" t="s">
        <v>18</v>
      </c>
      <c r="B12">
        <v>6.766</v>
      </c>
      <c r="C12">
        <v>0</v>
      </c>
      <c r="D12">
        <v>0</v>
      </c>
      <c r="E12">
        <v>0</v>
      </c>
      <c r="F12">
        <v>2.5670000000000002</v>
      </c>
      <c r="G12">
        <v>0</v>
      </c>
      <c r="H12">
        <v>0</v>
      </c>
      <c r="I12">
        <v>0</v>
      </c>
      <c r="L12" t="s">
        <v>18</v>
      </c>
      <c r="M12">
        <v>6.766</v>
      </c>
      <c r="N12">
        <v>0</v>
      </c>
      <c r="O12">
        <f>(N12+1)/(M12+1)</f>
        <v>0.12876641771825909</v>
      </c>
      <c r="P12">
        <f t="shared" si="0"/>
        <v>-2.9571717072463901</v>
      </c>
    </row>
    <row r="13" spans="1:16" x14ac:dyDescent="0.25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L13" t="s">
        <v>19</v>
      </c>
      <c r="M13">
        <v>0</v>
      </c>
      <c r="N13">
        <v>0</v>
      </c>
      <c r="O13">
        <f>(N13+1)/(M13+1)</f>
        <v>1</v>
      </c>
      <c r="P13">
        <f t="shared" si="0"/>
        <v>0</v>
      </c>
    </row>
    <row r="14" spans="1:16" x14ac:dyDescent="0.25">
      <c r="A14" t="s">
        <v>20</v>
      </c>
      <c r="B14">
        <v>24.617000000000001</v>
      </c>
      <c r="C14">
        <v>102.682</v>
      </c>
      <c r="D14">
        <v>0</v>
      </c>
      <c r="E14">
        <v>0</v>
      </c>
      <c r="F14">
        <v>14.484999999999999</v>
      </c>
      <c r="G14">
        <v>16.167999999999999</v>
      </c>
      <c r="H14">
        <v>0</v>
      </c>
      <c r="I14">
        <v>0</v>
      </c>
      <c r="L14" t="s">
        <v>20</v>
      </c>
      <c r="M14">
        <v>24.617000000000001</v>
      </c>
      <c r="N14">
        <v>102.682</v>
      </c>
      <c r="O14">
        <f>(N14+1)/(M14+1)</f>
        <v>4.0473904048093061</v>
      </c>
      <c r="P14">
        <f t="shared" si="0"/>
        <v>2.0169920157770611</v>
      </c>
    </row>
    <row r="15" spans="1:16" x14ac:dyDescent="0.25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L15" t="s">
        <v>21</v>
      </c>
      <c r="M15">
        <v>0</v>
      </c>
      <c r="N15">
        <v>0</v>
      </c>
      <c r="O15">
        <f>(N15+1)/(M15+1)</f>
        <v>1</v>
      </c>
      <c r="P15">
        <f t="shared" si="0"/>
        <v>0</v>
      </c>
    </row>
    <row r="16" spans="1:16" x14ac:dyDescent="0.25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L16" t="s">
        <v>22</v>
      </c>
      <c r="M16">
        <v>0</v>
      </c>
      <c r="N16">
        <v>0</v>
      </c>
      <c r="O16">
        <f>(N16+1)/(M16+1)</f>
        <v>1</v>
      </c>
      <c r="P16">
        <f t="shared" si="0"/>
        <v>0</v>
      </c>
    </row>
    <row r="17" spans="1:16" x14ac:dyDescent="0.25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L17" t="s">
        <v>23</v>
      </c>
      <c r="M17">
        <v>0</v>
      </c>
      <c r="N17">
        <v>0</v>
      </c>
      <c r="O17">
        <f>(N17+1)/(M17+1)</f>
        <v>1</v>
      </c>
      <c r="P17">
        <f t="shared" si="0"/>
        <v>0</v>
      </c>
    </row>
    <row r="18" spans="1:16" x14ac:dyDescent="0.25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L18" t="s">
        <v>24</v>
      </c>
      <c r="M18">
        <v>0</v>
      </c>
      <c r="N18">
        <v>0</v>
      </c>
      <c r="O18">
        <f>(N18+1)/(M18+1)</f>
        <v>1</v>
      </c>
      <c r="P18">
        <f t="shared" si="0"/>
        <v>0</v>
      </c>
    </row>
    <row r="19" spans="1:16" x14ac:dyDescent="0.25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L19" t="s">
        <v>25</v>
      </c>
      <c r="M19">
        <v>0</v>
      </c>
      <c r="N19">
        <v>0</v>
      </c>
      <c r="O19">
        <f>(N19+1)/(M19+1)</f>
        <v>1</v>
      </c>
      <c r="P19">
        <f t="shared" si="0"/>
        <v>0</v>
      </c>
    </row>
    <row r="20" spans="1:16" x14ac:dyDescent="0.25">
      <c r="A20" t="s">
        <v>26</v>
      </c>
      <c r="B20">
        <v>0</v>
      </c>
      <c r="C20">
        <v>1.161</v>
      </c>
      <c r="D20">
        <v>0</v>
      </c>
      <c r="E20">
        <v>0</v>
      </c>
      <c r="F20">
        <v>0</v>
      </c>
      <c r="G20">
        <v>3.5979999999999999</v>
      </c>
      <c r="H20">
        <v>0</v>
      </c>
      <c r="I20">
        <v>0</v>
      </c>
      <c r="L20" t="s">
        <v>26</v>
      </c>
      <c r="M20">
        <v>0</v>
      </c>
      <c r="N20">
        <v>1.161</v>
      </c>
      <c r="O20">
        <f>(N20+1)/(M20+1)</f>
        <v>2.161</v>
      </c>
      <c r="P20">
        <f t="shared" si="0"/>
        <v>1.1116990721974203</v>
      </c>
    </row>
    <row r="21" spans="1:16" x14ac:dyDescent="0.25">
      <c r="A21" t="s">
        <v>27</v>
      </c>
      <c r="B21">
        <v>0</v>
      </c>
      <c r="C21">
        <v>0.996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L21" t="s">
        <v>27</v>
      </c>
      <c r="M21">
        <v>0</v>
      </c>
      <c r="N21">
        <v>0.996</v>
      </c>
      <c r="O21">
        <f>(N21+1)/(M21+1)</f>
        <v>1.996</v>
      </c>
      <c r="P21">
        <f t="shared" si="0"/>
        <v>0.99711172067517351</v>
      </c>
    </row>
    <row r="22" spans="1:16" x14ac:dyDescent="0.25">
      <c r="A22" t="s">
        <v>28</v>
      </c>
      <c r="B22">
        <v>1.319</v>
      </c>
      <c r="C22">
        <v>2.8780000000000001</v>
      </c>
      <c r="D22">
        <v>0</v>
      </c>
      <c r="E22">
        <v>0</v>
      </c>
      <c r="F22">
        <v>10.446</v>
      </c>
      <c r="G22">
        <v>7.0439999999999996</v>
      </c>
      <c r="H22">
        <v>0</v>
      </c>
      <c r="I22">
        <v>0</v>
      </c>
      <c r="L22" t="s">
        <v>28</v>
      </c>
      <c r="M22">
        <v>1.319</v>
      </c>
      <c r="N22">
        <v>2.8780000000000001</v>
      </c>
      <c r="O22">
        <f>(N22+1)/(M22+1)</f>
        <v>1.6722725312634756</v>
      </c>
      <c r="P22">
        <f t="shared" si="0"/>
        <v>0.74180998346078886</v>
      </c>
    </row>
    <row r="23" spans="1:16" x14ac:dyDescent="0.25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L23" t="s">
        <v>29</v>
      </c>
      <c r="M23">
        <v>0</v>
      </c>
      <c r="N23">
        <v>0</v>
      </c>
      <c r="O23">
        <f>(N23+1)/(M23+1)</f>
        <v>1</v>
      </c>
      <c r="P23">
        <f t="shared" si="0"/>
        <v>0</v>
      </c>
    </row>
    <row r="24" spans="1:16" x14ac:dyDescent="0.25">
      <c r="A24" t="s">
        <v>30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3.552</v>
      </c>
      <c r="I24">
        <v>0</v>
      </c>
      <c r="L24" t="s">
        <v>30</v>
      </c>
      <c r="M24">
        <v>0</v>
      </c>
      <c r="N24">
        <v>0</v>
      </c>
      <c r="O24">
        <f>(N24+1)/(M24+1)</f>
        <v>1</v>
      </c>
      <c r="P24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HPVcounts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Arnoldy</cp:lastModifiedBy>
  <dcterms:created xsi:type="dcterms:W3CDTF">2024-11-07T18:57:34Z</dcterms:created>
  <dcterms:modified xsi:type="dcterms:W3CDTF">2024-11-07T19:02:49Z</dcterms:modified>
</cp:coreProperties>
</file>